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ea9e4d7bd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Budget" sheetId="1" r:id="Re2fbde5dfde94c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8"/>
      <x:color rgb="FF172554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sz val="10"/>
      <x:color rgb="FF7C2D12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FFF7CC"/>
      </x:patternFill>
    </x:fill>
    <x:fill>
      <x:patternFill patternType="solid">
        <x:fgColor rgb="FF14532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019b8307d4247" /><Relationship Type="http://schemas.openxmlformats.org/officeDocument/2006/relationships/theme" Target="/xl/theme/theme1.xml" Id="R131fd5a3eef04994" /><Relationship Type="http://schemas.openxmlformats.org/officeDocument/2006/relationships/sharedStrings" Target="/xl/sharedStrings.xml" Id="R68e8080100804b51" /><Relationship Type="http://schemas.openxmlformats.org/officeDocument/2006/relationships/worksheet" Target="/xl/worksheets/sheet1.xml" Id="Re2fbde5dfde94c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8.880000114440918" hidden="0" customWidth="1"/>
    <x:col min="3" max="3" width="7.880000114440918" hidden="0" customWidth="1"/>
    <x:col min="4" max="4" width="13" hidden="0" customWidth="1"/>
    <x:col min="5" max="5" width="26" hidden="0" customWidth="1"/>
    <x:col min="6" max="6" width="38" hidden="0" customWidth="1"/>
    <x:col min="7" max="7" width="13.75" hidden="0" customWidth="1"/>
  </x:cols>
  <x:sheetData>
    <x:row r="2">
      <x:c r="A2" s="1" t="str">
        <x:v>Resource Budget Planning</x:v>
      </x:c>
      <x:c r="B2" s="1"/>
      <x:c r="C2" s="1"/>
      <x:c r="D2" s="1"/>
      <x:c r="E2" s="1"/>
      <x:c r="F2" s="1"/>
      <x:c r="G2" s="1"/>
      <x:c r="H2" s="1"/>
    </x:row>
    <x:row r="4">
      <x:c r="A4" s="15" t="str">
        <x:v>Resource</x:v>
      </x:c>
      <x:c r="B4" s="15" t="str">
        <x:v>Unit</x:v>
      </x:c>
      <x:c r="C4" s="15" t="str">
        <x:v>Quantity</x:v>
      </x:c>
      <x:c r="D4" s="15" t="str">
        <x:v>Unit cost input</x:v>
      </x:c>
      <x:c r="E4" s="15" t="str">
        <x:v>Calculation</x:v>
      </x:c>
      <x:c r="F4" s="15" t="str">
        <x:v>Authorization note</x:v>
      </x:c>
      <x:c r="G4" s="16" t="str">
        <x:v>Calculated total</x:v>
      </x:c>
    </x:row>
    <x:row r="5">
      <x:c r="A5" s="17" t="str">
        <x:v>Pilot baseline task runs</x:v>
      </x:c>
      <x:c r="B5" s="17" t="str">
        <x:v>run</x:v>
      </x:c>
      <x:c r="C5" s="17" t="str">
        <x:v>540</x:v>
      </x:c>
      <x:c r="D5" s="18" t="str"/>
      <x:c r="E5" s="17" t="str">
        <x:v>quantity times unit cost</x:v>
      </x:c>
      <x:c r="F5" s="17" t="str">
        <x:v>Required before search</x:v>
      </x:c>
      <x:c r="G5" s="19" t="str">
        <x:f>IF(D5="","",C5*D5)</x:f>
      </x:c>
    </x:row>
    <x:row r="6">
      <x:c r="A6" s="17" t="str">
        <x:v>Excel candidate evaluations</x:v>
      </x:c>
      <x:c r="B6" s="17" t="str">
        <x:v>run</x:v>
      </x:c>
      <x:c r="C6" s="17" t="str">
        <x:v>2160</x:v>
      </x:c>
      <x:c r="D6" s="18" t="str"/>
      <x:c r="E6" s="17" t="str">
        <x:v>quantity times unit cost</x:v>
      </x:c>
      <x:c r="F6" s="17" t="str">
        <x:v>Six rounds times four candidates under capped task subsets</x:v>
      </x:c>
      <x:c r="G6" s="19" t="str">
        <x:f>IF(D6="","",C6*D6)</x:f>
      </x:c>
    </x:row>
    <x:row r="7">
      <x:c r="A7" s="17" t="str">
        <x:v>Human evaluator calibration</x:v>
      </x:c>
      <x:c r="B7" s="17" t="str">
        <x:v>hour</x:v>
      </x:c>
      <x:c r="C7" s="17" t="str">
        <x:v>12</x:v>
      </x:c>
      <x:c r="D7" s="18" t="str"/>
      <x:c r="E7" s="17" t="str">
        <x:v>quantity times unit cost</x:v>
      </x:c>
      <x:c r="F7" s="17" t="str">
        <x:v>Two reviewers for sampled artifacts</x:v>
      </x:c>
      <x:c r="G7" s="19" t="str">
        <x:f>IF(D7="","",C7*D7)</x:f>
      </x:c>
    </x:row>
    <x:row r="8">
      <x:c r="A8" s="17" t="str">
        <x:v>Office render verification</x:v>
      </x:c>
      <x:c r="B8" s="17" t="str">
        <x:v>artifact</x:v>
      </x:c>
      <x:c r="C8" s="17" t="str">
        <x:v>300</x:v>
      </x:c>
      <x:c r="D8" s="18" t="str"/>
      <x:c r="E8" s="17" t="str">
        <x:v>quantity times unit cost</x:v>
      </x:c>
      <x:c r="F8" s="17" t="str">
        <x:v>Use measured render time in Phase 3</x:v>
      </x:c>
      <x:c r="G8" s="19" t="str">
        <x:f>IF(D8="","",C8*D8)</x:f>
      </x:c>
    </x:row>
    <x:row r="9">
      <x:c r="A9" s="17" t="str">
        <x:v>Local CPU/GPU execution</x:v>
      </x:c>
      <x:c r="B9" s="17" t="str">
        <x:v>hour</x:v>
      </x:c>
      <x:c r="C9" s="17" t="str">
        <x:v>40</x:v>
      </x:c>
      <x:c r="D9" s="18" t="str"/>
      <x:c r="E9" s="17" t="str">
        <x:v>quantity times unit cost</x:v>
      </x:c>
      <x:c r="F9" s="17" t="str">
        <x:v>Current host only; no large-model training</x:v>
      </x:c>
      <x:c r="G9" s="19" t="str">
        <x:f>IF(D9="","",C9*D9)</x:f>
      </x:c>
    </x:row>
    <x:row r="10">
      <x:c r="A10" s="17" t="str">
        <x:v>Storage</x:v>
      </x:c>
      <x:c r="B10" s="17" t="str">
        <x:v>GB-month</x:v>
      </x:c>
      <x:c r="C10" s="17" t="str">
        <x:v>25</x:v>
      </x:c>
      <x:c r="D10" s="18" t="str"/>
      <x:c r="E10" s="17" t="str">
        <x:v>quantity times unit cost</x:v>
      </x:c>
      <x:c r="F10" s="17" t="str">
        <x:v>Raw artifacts traces and render previews</x:v>
      </x:c>
      <x:c r="G10" s="19" t="str">
        <x:f>IF(D10="","",C10*D10)</x:f>
      </x:c>
    </x:row>
    <x:row r="11">
      <x:c r="A11" s="17" t="str">
        <x:v>Contingency</x:v>
      </x:c>
      <x:c r="B11" s="17" t="str">
        <x:v>percent</x:v>
      </x:c>
      <x:c r="C11" s="17" t="str">
        <x:v>20</x:v>
      </x:c>
      <x:c r="D11" s="18" t="str"/>
      <x:c r="E11" s="17" t="str">
        <x:v>subtotal times percentage</x:v>
      </x:c>
      <x:c r="F11" s="17" t="str">
        <x:v>Requires approval if consumed</x:v>
      </x:c>
      <x:c r="G11" s="19" t="str">
        <x:f>IF(D11="","",SUM(G5:G10)*C11/100)</x:f>
      </x:c>
    </x:row>
    <x:row r="13">
      <x:c r="A13" s="5" t="str">
        <x:v>Local hardware</x:v>
      </x:c>
      <x:c r="B13" s="5"/>
      <x:c r="C13" s="5"/>
      <x:c r="D13" s="5"/>
      <x:c r="E13" s="5"/>
      <x:c r="F13" s="5"/>
    </x:row>
    <x:row r="14">
      <x:c r="A14" s="7" t="str">
        <x:v>CPU</x:v>
      </x:c>
      <x:c r="B14" s="7" t="str">
        <x:v>Intel Core i7-14650HX, 16 cores / 24 threads</x:v>
      </x:c>
      <x:c r="C14" s="7"/>
      <x:c r="D14" s="7"/>
      <x:c r="E14" s="7"/>
      <x:c r="F14" s="7"/>
    </x:row>
    <x:row r="15">
      <x:c r="A15" s="7" t="str">
        <x:v>Memory</x:v>
      </x:c>
      <x:c r="B15" s="7" t="str">
        <x:v>16 GB RAM</x:v>
      </x:c>
      <x:c r="C15" s="7"/>
      <x:c r="D15" s="7"/>
      <x:c r="E15" s="7"/>
      <x:c r="F15" s="7"/>
    </x:row>
    <x:row r="16">
      <x:c r="A16" s="7" t="str">
        <x:v>GPU</x:v>
      </x:c>
      <x:c r="B16" s="7" t="str">
        <x:v>NVIDIA GeForce RTX 5060 Laptop GPU, 8 GB VRAM</x:v>
      </x:c>
      <x:c r="C16" s="7"/>
      <x:c r="D16" s="7"/>
      <x:c r="E16" s="7"/>
      <x:c r="F16" s="7"/>
    </x:row>
  </x:sheetData>
  <x:mergeCells>
    <x:mergeCell ref="A2:H2"/>
    <x:mergeCell ref="A13:F13"/>
    <x:mergeCell ref="B14:F14"/>
    <x:mergeCell ref="B15:F15"/>
    <x:mergeCell ref="B16:F16"/>
  </x:mergeCells>
  <x:pageMargins left="0.7" right="0.7" top="0.75" bottom="0.75" header="0.3" footer="0.3"/>
</x:worksheet>
</file>